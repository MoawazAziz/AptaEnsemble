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8 Check" sheetId="1" state="visible" r:id="rId3"/>
    <sheet name="Splits Repo vs Paper" sheetId="2" state="visible" r:id="rId4"/>
    <sheet name="Results Repo vs Table 8" sheetId="3" state="visible" r:id="rId5"/>
    <sheet name="Issues and 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<sst xmlns="http://schemas.openxmlformats.org/spreadsheetml/2006/main" count="97" uniqueCount="83">
  <si>
    <t xml:space="preserve">Table 8 verification against the split-file test partitions</t>
  </si>
  <si>
    <t xml:space="preserve">Blue = inputs. TP/FP were found by exhaustive search for integer confusion matrices on each test partition (positives/negatives from split_assignments.csv) that reproduce the reported Table 8 row; exactly one solution exists per design. TN and FN are derived. Table 8 values are from the manuscript (R2_Clean.docx).</t>
  </si>
  <si>
    <t xml:space="preserve">Validation design</t>
  </si>
  <si>
    <t xml:space="preserve">Test pairs</t>
  </si>
  <si>
    <t xml:space="preserve">Positives</t>
  </si>
  <si>
    <t xml:space="preserve">Negatives</t>
  </si>
  <si>
    <t xml:space="preserve">TP</t>
  </si>
  <si>
    <t xml:space="preserve">FP</t>
  </si>
  <si>
    <t xml:space="preserve">TN</t>
  </si>
  <si>
    <t xml:space="preserve">FN</t>
  </si>
  <si>
    <t xml:space="preserve">Accuracy (calc)</t>
  </si>
  <si>
    <t xml:space="preserve">Precision (calc)</t>
  </si>
  <si>
    <t xml:space="preserve">Recall (calc)</t>
  </si>
  <si>
    <t xml:space="preserve">F1 (calc)</t>
  </si>
  <si>
    <t xml:space="preserve">MCC (calc)</t>
  </si>
  <si>
    <t xml:space="preserve">Accuracy (Table 8)</t>
  </si>
  <si>
    <t xml:space="preserve">Precision (Table 8)</t>
  </si>
  <si>
    <t xml:space="preserve">Recall (Table 8)</t>
  </si>
  <si>
    <t xml:space="preserve">F1 (Table 8)</t>
  </si>
  <si>
    <t xml:space="preserve">MCC (Table 8)</t>
  </si>
  <si>
    <t xml:space="preserve">Predicted positive</t>
  </si>
  <si>
    <t xml:space="preserve">All five metrics match?</t>
  </si>
  <si>
    <t xml:space="preserve">Pair-level (held-out)</t>
  </si>
  <si>
    <t xml:space="preserve">Protein-disjoint</t>
  </si>
  <si>
    <t xml:space="preserve">Aptamer-disjoint</t>
  </si>
  <si>
    <t xml:space="preserve">Similarity-cluster-disjoint</t>
  </si>
  <si>
    <t xml:space="preserve">Doubly disjoint</t>
  </si>
  <si>
    <t xml:space="preserve">Designs matching Table 8</t>
  </si>
  <si>
    <t xml:space="preserve">Note: column S shows how many test pairs the model flagged as interacting; for the doubly disjoint design that is only 10 of 385.</t>
  </si>
  <si>
    <t xml:space="preserve">Test partitions: split_assignments.csv (paper) vs public repo (commit 5375ab5)</t>
  </si>
  <si>
    <t xml:space="preserve">Paper = /mnt/user-data/outputs/split_assignments.csv (columns SP_PUB, SP_PRO, SP_APT, SP_CLUST, SP_BOTH). Repo = splits/split_summary.csv built in an earlier session. Seen-in-dev percentages computed on the paper split file.</t>
  </si>
  <si>
    <t xml:space="preserve">Test pairs (paper)</t>
  </si>
  <si>
    <t xml:space="preserve">Test positives (paper)</t>
  </si>
  <si>
    <t xml:space="preserve">Test pairs (repo)</t>
  </si>
  <si>
    <t xml:space="preserve">Test positives (repo)</t>
  </si>
  <si>
    <t xml:space="preserve">Difference in test pairs</t>
  </si>
  <si>
    <t xml:space="preserve">Difference in positives</t>
  </si>
  <si>
    <t xml:space="preserve">Same partition size?</t>
  </si>
  <si>
    <t xml:space="preserve">Test aptamers seen in dev (paper)</t>
  </si>
  <si>
    <t xml:space="preserve">Test proteins seen in dev (paper)</t>
  </si>
  <si>
    <t xml:space="preserve">Partitions with identical size</t>
  </si>
  <si>
    <t xml:space="preserve">Entity-disjoint designs in the paper file show 0.0% leakage on the entity they hold out.</t>
  </si>
  <si>
    <t xml:space="preserve">Repo re-run results vs manuscript Table 8</t>
  </si>
  <si>
    <t xml:space="preserve">Repo = splits/all_designs_results/Table3_all_designs.csv (fixed ExtraTrees, 640 descriptors, stratified-CV threshold). Table 8 = manuscript values. The two protocols differ, so the gap is a protocol and partition difference, not a rounding issue.</t>
  </si>
  <si>
    <t xml:space="preserve">MCC (repo)</t>
  </si>
  <si>
    <t xml:space="preserve">MCC gap (repo - Table 8)</t>
  </si>
  <si>
    <t xml:space="preserve">ROC-AUC (Table 8)</t>
  </si>
  <si>
    <t xml:space="preserve">ROC-AUC (repo)</t>
  </si>
  <si>
    <t xml:space="preserve">ROC-AUC gap</t>
  </si>
  <si>
    <t xml:space="preserve">Recall (repo)</t>
  </si>
  <si>
    <t xml:space="preserve">Recall gap</t>
  </si>
  <si>
    <t xml:space="preserve">MCC within 0.02?</t>
  </si>
  <si>
    <t xml:space="preserve">Designs where repo MCC is within 0.02 of Table 8</t>
  </si>
  <si>
    <t xml:space="preserve">Issues found and what is needed</t>
  </si>
  <si>
    <t xml:space="preserve">#</t>
  </si>
  <si>
    <t xml:space="preserve">Issue</t>
  </si>
  <si>
    <t xml:space="preserve">Evidence</t>
  </si>
  <si>
    <t xml:space="preserve">Impact</t>
  </si>
  <si>
    <t xml:space="preserve">Action / what is needed</t>
  </si>
  <si>
    <t xml:space="preserve">Public repo splits are not the splits behind Table 8</t>
  </si>
  <si>
    <t xml:space="preserve">Repo test sizes differ (e.g. doubly disjoint 345 vs 385 pairs; aptamer-disjoint 638 vs 601). See 'Splits Repo vs Paper'.</t>
  </si>
  <si>
    <t xml:space="preserve">Reviewer 3 comment 3 (reproducibility): cloning the repo gives different partitions from the paper.</t>
  </si>
  <si>
    <t xml:space="preserve">Replace repo splits and README with the manuscript partitions. Needs your original row-ordered split files.</t>
  </si>
  <si>
    <t xml:space="preserve">Row mapping from split file to clean.csv is incomplete</t>
  </si>
  <si>
    <t xml:space="preserve">2,762 of 3,003 rows map with certainty; 241 are ambiguous (largest group 116 pairs lands in different splits depending on resolution).</t>
  </si>
  <si>
    <t xml:space="preserve">Correct split CSVs with features cannot be written without guessing.</t>
  </si>
  <si>
    <t xml:space="preserve">Provide the original M1/M2/M3 row order (or the original partition CSVs with features).</t>
  </si>
  <si>
    <t xml:space="preserve">Pair-level row in the pasted precision/recall table differs from Table 8</t>
  </si>
  <si>
    <t xml:space="preserve">Pasted: precision 93.24%, recall 85.19%. Table 8: 97.14%, 83.95% (confusion 136/4/435/26). Other four rows match.</t>
  </si>
  <si>
    <t xml:space="preserve">Inconsistent numbers if the pasted table is reused anywhere.</t>
  </si>
  <si>
    <t xml:space="preserve">Use Table 8 values; confirm where the pasted pair-level figures came from.</t>
  </si>
  <si>
    <t xml:space="preserve">'Almost silent' explanation is unverified</t>
  </si>
  <si>
    <t xml:space="preserve">Thresholds 0.43-0.76 are not reported in the manuscript (only 0.4550 for pair-level). Methods say inner folds are entity-aware, which conflicts with a recurrence-calibrated threshold.</t>
  </si>
  <si>
    <t xml:space="preserve">Cannot confirm why recall collapses under cold-start.</t>
  </si>
  <si>
    <t xml:space="preserve">Provide the original training script so thresholds and fold construction can be checked.</t>
  </si>
  <si>
    <t xml:space="preserve">Lowering the threshold will not rescue the doubly disjoint result</t>
  </si>
  <si>
    <t xml:space="preserve">ROC-AUC is 0.5589 whatever the threshold; mean scores are 0.546 (interacting) vs 0.510 (non-interacting). Repo run: recall 96.3% but specificity 4.7%.</t>
  </si>
  <si>
    <t xml:space="preserve">A lower cutoff trades precision for recall with MCC still near zero.</t>
  </si>
  <si>
    <t xml:space="preserve">Keep the cold-start result framed as near chance in abstract, results and conclusions.</t>
  </si>
  <si>
    <t xml:space="preserve">Training code behind Table 8 not in the sandbox</t>
  </si>
  <si>
    <t xml:space="preserve">Only the repo's simplified script and an earlier package with empty results folders were found.</t>
  </si>
  <si>
    <t xml:space="preserve">Table 8 could not be re-run end to end.</t>
  </si>
  <si>
    <t xml:space="preserve">Send the original script that produced Table 8 and its thresholds.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</si>
</sst>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8" min="5" style="0" width="7"/>
    <col collapsed="false" customWidth="true" hidden="false" outlineLevel="0" max="11" min="9" style="0" width="11"/>
    <col collapsed="false" customWidth="true" hidden="false" outlineLevel="0" max="13" min="12" style="0" width="10"/>
    <col collapsed="false" customWidth="true" hidden="false" outlineLevel="0" max="16" min="14" style="0" width="12"/>
    <col collapsed="false" customWidth="true" hidden="false" outlineLevel="0" max="19" min="17" style="0" width="11"/>
    <col collapsed="false" customWidth="true" hidden="false" outlineLevel="0" max="20" min="20" style="0" width="14"/>
  </cols>
  <sheetData>
    <row r="1" customFormat="false" ht="16.15" hidden="false" customHeight="fals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5" t="n">
        <v>601</v>
      </c>
      <c r="C5" s="5" t="n">
        <v>162</v>
      </c>
      <c r="D5" s="4" t="n">
        <f aca="false">B5-C5</f>
        <v>439</v>
      </c>
      <c r="E5" s="5" t="n">
        <v>136</v>
      </c>
      <c r="F5" s="5" t="n">
        <v>4</v>
      </c>
      <c r="G5" s="4" t="n">
        <f aca="false">D5-F5</f>
        <v>435</v>
      </c>
      <c r="H5" s="4" t="n">
        <f aca="false">C5-E5</f>
        <v>26</v>
      </c>
      <c r="I5" s="6" t="n">
        <f aca="false">(E5+G5)/B5</f>
        <v>0.950083194675541</v>
      </c>
      <c r="J5" s="6" t="n">
        <f aca="false">IF(E5+F5=0,0,E5/(E5+F5))</f>
        <v>0.971428571428571</v>
      </c>
      <c r="K5" s="6" t="n">
        <f aca="false">E5/C5</f>
        <v>0.839506172839506</v>
      </c>
      <c r="L5" s="7" t="n">
        <f aca="false">2*E5/(2*E5+F5+H5)</f>
        <v>0.900662251655629</v>
      </c>
      <c r="M5" s="7" t="n">
        <f aca="false">(E5*G5-F5*H5)/SQRT((E5+F5)*(E5+H5)*(G5+F5)*(G5+H5))</f>
        <v>0.871685415951313</v>
      </c>
      <c r="N5" s="8" t="n">
        <v>0.9501</v>
      </c>
      <c r="O5" s="8" t="n">
        <v>0.9714</v>
      </c>
      <c r="P5" s="8" t="n">
        <v>0.8395</v>
      </c>
      <c r="Q5" s="9" t="n">
        <v>0.9007</v>
      </c>
      <c r="R5" s="9" t="n">
        <v>0.8717</v>
      </c>
      <c r="S5" s="4" t="n">
        <f aca="false">E5+F5</f>
        <v>140</v>
      </c>
      <c r="T5" s="10" t="str">
        <f aca="false">IF(AND(ABS(ROUND(I5,4)-N5)&lt;0.000001,ABS(ROUND(J5,4)-O5)&lt;0.000001,ABS(ROUND(K5,4)-P5)&lt;0.000001,ABS(ROUND(L5,4)-Q5)&lt;0.000001,ABS(ROUND(M5,4)-R5)&lt;0.000001),"Yes","No")</f>
        <v>Yes</v>
      </c>
    </row>
    <row r="6" customFormat="false" ht="15" hidden="false" customHeight="false" outlineLevel="0" collapsed="false">
      <c r="A6" s="4" t="s">
        <v>23</v>
      </c>
      <c r="B6" s="5" t="n">
        <v>601</v>
      </c>
      <c r="C6" s="5" t="n">
        <v>162</v>
      </c>
      <c r="D6" s="4" t="n">
        <f aca="false">B6-C6</f>
        <v>439</v>
      </c>
      <c r="E6" s="5" t="n">
        <v>127</v>
      </c>
      <c r="F6" s="5" t="n">
        <v>15</v>
      </c>
      <c r="G6" s="4" t="n">
        <f aca="false">D6-F6</f>
        <v>424</v>
      </c>
      <c r="H6" s="4" t="n">
        <f aca="false">C6-E6</f>
        <v>35</v>
      </c>
      <c r="I6" s="6" t="n">
        <f aca="false">(E6+G6)/B6</f>
        <v>0.916805324459235</v>
      </c>
      <c r="J6" s="6" t="n">
        <f aca="false">IF(E6+F6=0,0,E6/(E6+F6))</f>
        <v>0.894366197183099</v>
      </c>
      <c r="K6" s="6" t="n">
        <f aca="false">E6/C6</f>
        <v>0.783950617283951</v>
      </c>
      <c r="L6" s="7" t="n">
        <f aca="false">2*E6/(2*E6+F6+H6)</f>
        <v>0.835526315789474</v>
      </c>
      <c r="M6" s="7" t="n">
        <f aca="false">(E6*G6-F6*H6)/SQRT((E6+F6)*(E6+H6)*(G6+F6)*(G6+H6))</f>
        <v>0.783202910812894</v>
      </c>
      <c r="N6" s="8" t="n">
        <v>0.9168</v>
      </c>
      <c r="O6" s="8" t="n">
        <v>0.8944</v>
      </c>
      <c r="P6" s="8" t="n">
        <v>0.784</v>
      </c>
      <c r="Q6" s="9" t="n">
        <v>0.8355</v>
      </c>
      <c r="R6" s="9" t="n">
        <v>0.7832</v>
      </c>
      <c r="S6" s="4" t="n">
        <f aca="false">E6+F6</f>
        <v>142</v>
      </c>
      <c r="T6" s="10" t="str">
        <f aca="false">IF(AND(ABS(ROUND(I6,4)-N6)&lt;0.000001,ABS(ROUND(J6,4)-O6)&lt;0.000001,ABS(ROUND(K6,4)-P6)&lt;0.000001,ABS(ROUND(L6,4)-Q6)&lt;0.000001,ABS(ROUND(M6,4)-R6)&lt;0.000001),"Yes","No")</f>
        <v>Yes</v>
      </c>
    </row>
    <row r="7" customFormat="false" ht="15" hidden="false" customHeight="false" outlineLevel="0" collapsed="false">
      <c r="A7" s="4" t="s">
        <v>24</v>
      </c>
      <c r="B7" s="5" t="n">
        <v>601</v>
      </c>
      <c r="C7" s="5" t="n">
        <v>162</v>
      </c>
      <c r="D7" s="4" t="n">
        <f aca="false">B7-C7</f>
        <v>439</v>
      </c>
      <c r="E7" s="5" t="n">
        <v>62</v>
      </c>
      <c r="F7" s="5" t="n">
        <v>3</v>
      </c>
      <c r="G7" s="4" t="n">
        <f aca="false">D7-F7</f>
        <v>436</v>
      </c>
      <c r="H7" s="4" t="n">
        <f aca="false">C7-E7</f>
        <v>100</v>
      </c>
      <c r="I7" s="6" t="n">
        <f aca="false">(E7+G7)/B7</f>
        <v>0.828618968386023</v>
      </c>
      <c r="J7" s="6" t="n">
        <f aca="false">IF(E7+F7=0,0,E7/(E7+F7))</f>
        <v>0.953846153846154</v>
      </c>
      <c r="K7" s="6" t="n">
        <f aca="false">E7/C7</f>
        <v>0.382716049382716</v>
      </c>
      <c r="L7" s="7" t="n">
        <f aca="false">2*E7/(2*E7+F7+H7)</f>
        <v>0.54625550660793</v>
      </c>
      <c r="M7" s="7" t="n">
        <f aca="false">(E7*G7-F7*H7)/SQRT((E7+F7)*(E7+H7)*(G7+F7)*(G7+H7))</f>
        <v>0.537035026144157</v>
      </c>
      <c r="N7" s="8" t="n">
        <v>0.8286</v>
      </c>
      <c r="O7" s="8" t="n">
        <v>0.9538</v>
      </c>
      <c r="P7" s="8" t="n">
        <v>0.3827</v>
      </c>
      <c r="Q7" s="9" t="n">
        <v>0.5463</v>
      </c>
      <c r="R7" s="9" t="n">
        <v>0.537</v>
      </c>
      <c r="S7" s="4" t="n">
        <f aca="false">E7+F7</f>
        <v>65</v>
      </c>
      <c r="T7" s="10" t="str">
        <f aca="false">IF(AND(ABS(ROUND(I7,4)-N7)&lt;0.000001,ABS(ROUND(J7,4)-O7)&lt;0.000001,ABS(ROUND(K7,4)-P7)&lt;0.000001,ABS(ROUND(L7,4)-Q7)&lt;0.000001,ABS(ROUND(M7,4)-R7)&lt;0.000001),"Yes","No")</f>
        <v>Yes</v>
      </c>
    </row>
    <row r="8" customFormat="false" ht="15" hidden="false" customHeight="false" outlineLevel="0" collapsed="false">
      <c r="A8" s="4" t="s">
        <v>25</v>
      </c>
      <c r="B8" s="5" t="n">
        <v>602</v>
      </c>
      <c r="C8" s="5" t="n">
        <v>162</v>
      </c>
      <c r="D8" s="4" t="n">
        <f aca="false">B8-C8</f>
        <v>440</v>
      </c>
      <c r="E8" s="5" t="n">
        <v>44</v>
      </c>
      <c r="F8" s="5" t="n">
        <v>3</v>
      </c>
      <c r="G8" s="4" t="n">
        <f aca="false">D8-F8</f>
        <v>437</v>
      </c>
      <c r="H8" s="4" t="n">
        <f aca="false">C8-E8</f>
        <v>118</v>
      </c>
      <c r="I8" s="6" t="n">
        <f aca="false">(E8+G8)/B8</f>
        <v>0.799003322259136</v>
      </c>
      <c r="J8" s="6" t="n">
        <f aca="false">IF(E8+F8=0,0,E8/(E8+F8))</f>
        <v>0.936170212765958</v>
      </c>
      <c r="K8" s="6" t="n">
        <f aca="false">E8/C8</f>
        <v>0.271604938271605</v>
      </c>
      <c r="L8" s="7" t="n">
        <f aca="false">2*E8/(2*E8+F8+H8)</f>
        <v>0.421052631578947</v>
      </c>
      <c r="M8" s="7" t="n">
        <f aca="false">(E8*G8-F8*H8)/SQRT((E8+F8)*(E8+H8)*(G8+F8)*(G8+H8))</f>
        <v>0.437708201947173</v>
      </c>
      <c r="N8" s="8" t="n">
        <v>0.799</v>
      </c>
      <c r="O8" s="8" t="n">
        <v>0.9362</v>
      </c>
      <c r="P8" s="8" t="n">
        <v>0.2716</v>
      </c>
      <c r="Q8" s="9" t="n">
        <v>0.4211</v>
      </c>
      <c r="R8" s="9" t="n">
        <v>0.4377</v>
      </c>
      <c r="S8" s="4" t="n">
        <f aca="false">E8+F8</f>
        <v>47</v>
      </c>
      <c r="T8" s="10" t="str">
        <f aca="false">IF(AND(ABS(ROUND(I8,4)-N8)&lt;0.000001,ABS(ROUND(J8,4)-O8)&lt;0.000001,ABS(ROUND(K8,4)-P8)&lt;0.000001,ABS(ROUND(L8,4)-Q8)&lt;0.000001,ABS(ROUND(M8,4)-R8)&lt;0.000001),"Yes","No")</f>
        <v>Yes</v>
      </c>
    </row>
    <row r="9" customFormat="false" ht="15" hidden="false" customHeight="false" outlineLevel="0" collapsed="false">
      <c r="A9" s="4" t="s">
        <v>26</v>
      </c>
      <c r="B9" s="5" t="n">
        <v>385</v>
      </c>
      <c r="C9" s="5" t="n">
        <v>102</v>
      </c>
      <c r="D9" s="4" t="n">
        <f aca="false">B9-C9</f>
        <v>283</v>
      </c>
      <c r="E9" s="5" t="n">
        <v>8</v>
      </c>
      <c r="F9" s="5" t="n">
        <v>2</v>
      </c>
      <c r="G9" s="4" t="n">
        <f aca="false">D9-F9</f>
        <v>281</v>
      </c>
      <c r="H9" s="4" t="n">
        <f aca="false">C9-E9</f>
        <v>94</v>
      </c>
      <c r="I9" s="6" t="n">
        <f aca="false">(E9+G9)/B9</f>
        <v>0.750649350649351</v>
      </c>
      <c r="J9" s="6" t="n">
        <f aca="false">IF(E9+F9=0,0,E9/(E9+F9))</f>
        <v>0.8</v>
      </c>
      <c r="K9" s="6" t="n">
        <f aca="false">E9/C9</f>
        <v>0.0784313725490196</v>
      </c>
      <c r="L9" s="7" t="n">
        <f aca="false">2*E9/(2*E9+F9+H9)</f>
        <v>0.142857142857143</v>
      </c>
      <c r="M9" s="7" t="n">
        <f aca="false">(E9*G9-F9*H9)/SQRT((E9+F9)*(E9+H9)*(G9+F9)*(G9+H9))</f>
        <v>0.197996850859842</v>
      </c>
      <c r="N9" s="8" t="n">
        <v>0.7506</v>
      </c>
      <c r="O9" s="8" t="n">
        <v>0.8</v>
      </c>
      <c r="P9" s="8" t="n">
        <v>0.0784</v>
      </c>
      <c r="Q9" s="9" t="n">
        <v>0.1429</v>
      </c>
      <c r="R9" s="9" t="n">
        <v>0.198</v>
      </c>
      <c r="S9" s="4" t="n">
        <f aca="false">E9+F9</f>
        <v>10</v>
      </c>
      <c r="T9" s="10" t="str">
        <f aca="false">IF(AND(ABS(ROUND(I9,4)-N9)&lt;0.000001,ABS(ROUND(J9,4)-O9)&lt;0.000001,ABS(ROUND(K9,4)-P9)&lt;0.000001,ABS(ROUND(L9,4)-Q9)&lt;0.000001,ABS(ROUND(M9,4)-R9)&lt;0.000001),"Yes","No")</f>
        <v>Yes</v>
      </c>
    </row>
    <row r="11" customFormat="false" ht="15" hidden="false" customHeight="false" outlineLevel="0" collapsed="false">
      <c r="A11" s="11" t="s">
        <v>27</v>
      </c>
      <c r="B11" s="11" t="str">
        <f aca="false">COUNTIF(T5:T9,"Yes")&amp;" of "&amp;COUNTA(A5:A9)</f>
        <v>5 of 5</v>
      </c>
    </row>
    <row r="12" customFormat="false" ht="15" hidden="false" customHeight="false" outlineLevel="0" collapsed="false">
      <c r="A12" s="12" t="s">
        <v>28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  <col collapsed="false" customWidth="true" hidden="false" outlineLevel="0" max="10" min="9" style="0" width="18"/>
  </cols>
  <sheetData>
    <row r="1" customFormat="false" ht="16.15" hidden="false" customHeight="false" outlineLevel="0" collapsed="false">
      <c r="A1" s="1" t="s">
        <v>29</v>
      </c>
    </row>
    <row r="2" customFormat="false" ht="30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2" hidden="false" customHeight="true" outlineLevel="0" collapsed="false">
      <c r="A4" s="3" t="s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customFormat="false" ht="15" hidden="false" customHeight="false" outlineLevel="0" collapsed="false">
      <c r="A5" s="4" t="s">
        <v>22</v>
      </c>
      <c r="B5" s="5" t="n">
        <v>601</v>
      </c>
      <c r="C5" s="5" t="n">
        <v>162</v>
      </c>
      <c r="D5" s="5" t="n">
        <v>601</v>
      </c>
      <c r="E5" s="5" t="n">
        <v>162</v>
      </c>
      <c r="F5" s="4" t="n">
        <f aca="false">D5-B5</f>
        <v>0</v>
      </c>
      <c r="G5" s="4" t="n">
        <f aca="false">E5-C5</f>
        <v>0</v>
      </c>
      <c r="H5" s="10" t="str">
        <f aca="false">IF(AND(F5=0,G5=0),"Yes","No")</f>
        <v>Yes</v>
      </c>
      <c r="I5" s="13" t="n">
        <v>0.795</v>
      </c>
      <c r="J5" s="13" t="n">
        <v>0.894</v>
      </c>
    </row>
    <row r="6" customFormat="false" ht="15" hidden="false" customHeight="false" outlineLevel="0" collapsed="false">
      <c r="A6" s="4" t="s">
        <v>23</v>
      </c>
      <c r="B6" s="5" t="n">
        <v>601</v>
      </c>
      <c r="C6" s="5" t="n">
        <v>162</v>
      </c>
      <c r="D6" s="5" t="n">
        <v>617</v>
      </c>
      <c r="E6" s="5" t="n">
        <v>155</v>
      </c>
      <c r="F6" s="4" t="n">
        <f aca="false">D6-B6</f>
        <v>16</v>
      </c>
      <c r="G6" s="4" t="n">
        <f aca="false">E6-C6</f>
        <v>-7</v>
      </c>
      <c r="H6" s="10" t="str">
        <f aca="false">IF(AND(F6=0,G6=0),"Yes","No")</f>
        <v>No</v>
      </c>
      <c r="I6" s="13" t="n">
        <v>0.78</v>
      </c>
      <c r="J6" s="13" t="n">
        <v>0</v>
      </c>
    </row>
    <row r="7" customFormat="false" ht="15" hidden="false" customHeight="false" outlineLevel="0" collapsed="false">
      <c r="A7" s="4" t="s">
        <v>24</v>
      </c>
      <c r="B7" s="5" t="n">
        <v>601</v>
      </c>
      <c r="C7" s="5" t="n">
        <v>162</v>
      </c>
      <c r="D7" s="5" t="n">
        <v>638</v>
      </c>
      <c r="E7" s="5" t="n">
        <v>144</v>
      </c>
      <c r="F7" s="4" t="n">
        <f aca="false">D7-B7</f>
        <v>37</v>
      </c>
      <c r="G7" s="4" t="n">
        <f aca="false">E7-C7</f>
        <v>-18</v>
      </c>
      <c r="H7" s="10" t="str">
        <f aca="false">IF(AND(F7=0,G7=0),"Yes","No")</f>
        <v>No</v>
      </c>
      <c r="I7" s="13" t="n">
        <v>0</v>
      </c>
      <c r="J7" s="13" t="n">
        <v>0.907</v>
      </c>
    </row>
    <row r="8" customFormat="false" ht="15" hidden="false" customHeight="false" outlineLevel="0" collapsed="false">
      <c r="A8" s="4" t="s">
        <v>25</v>
      </c>
      <c r="B8" s="5" t="n">
        <v>602</v>
      </c>
      <c r="C8" s="5" t="n">
        <v>162</v>
      </c>
      <c r="D8" s="5" t="n">
        <v>627</v>
      </c>
      <c r="E8" s="5" t="n">
        <v>160</v>
      </c>
      <c r="F8" s="4" t="n">
        <f aca="false">D8-B8</f>
        <v>25</v>
      </c>
      <c r="G8" s="4" t="n">
        <f aca="false">E8-C8</f>
        <v>-2</v>
      </c>
      <c r="H8" s="10" t="str">
        <f aca="false">IF(AND(F8=0,G8=0),"Yes","No")</f>
        <v>No</v>
      </c>
      <c r="I8" s="13" t="n">
        <v>0</v>
      </c>
      <c r="J8" s="13" t="n">
        <v>0.9</v>
      </c>
    </row>
    <row r="9" customFormat="false" ht="15" hidden="false" customHeight="false" outlineLevel="0" collapsed="false">
      <c r="A9" s="4" t="s">
        <v>26</v>
      </c>
      <c r="B9" s="5" t="n">
        <v>385</v>
      </c>
      <c r="C9" s="5" t="n">
        <v>102</v>
      </c>
      <c r="D9" s="5" t="n">
        <v>345</v>
      </c>
      <c r="E9" s="5" t="n">
        <v>109</v>
      </c>
      <c r="F9" s="4" t="n">
        <f aca="false">D9-B9</f>
        <v>-40</v>
      </c>
      <c r="G9" s="4" t="n">
        <f aca="false">E9-C9</f>
        <v>7</v>
      </c>
      <c r="H9" s="10" t="str">
        <f aca="false">IF(AND(F9=0,G9=0),"Yes","No")</f>
        <v>No</v>
      </c>
      <c r="I9" s="13" t="n">
        <v>0</v>
      </c>
      <c r="J9" s="13" t="n">
        <v>0</v>
      </c>
    </row>
    <row r="11" customFormat="false" ht="15" hidden="false" customHeight="false" outlineLevel="0" collapsed="false">
      <c r="A11" s="11" t="s">
        <v>40</v>
      </c>
      <c r="B11" s="11" t="str">
        <f aca="false">COUNTIF(H5:H9,"Yes")&amp;" of "&amp;COUNTA(A5:A9)</f>
        <v>1 of 5</v>
      </c>
    </row>
    <row r="12" customFormat="false" ht="15" hidden="false" customHeight="false" outlineLevel="0" collapsed="false">
      <c r="A12" s="12" t="s">
        <v>41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10" min="5" style="0" width="12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42</v>
      </c>
    </row>
    <row r="2" customFormat="false" ht="30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42" hidden="false" customHeight="true" outlineLevel="0" collapsed="false">
      <c r="A4" s="3" t="s">
        <v>2</v>
      </c>
      <c r="B4" s="3" t="s">
        <v>19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17</v>
      </c>
      <c r="I4" s="3" t="s">
        <v>49</v>
      </c>
      <c r="J4" s="3" t="s">
        <v>50</v>
      </c>
      <c r="K4" s="3" t="s">
        <v>51</v>
      </c>
    </row>
    <row r="5" customFormat="false" ht="15" hidden="false" customHeight="false" outlineLevel="0" collapsed="false">
      <c r="A5" s="4" t="s">
        <v>22</v>
      </c>
      <c r="B5" s="9" t="n">
        <v>0.8717</v>
      </c>
      <c r="C5" s="9" t="n">
        <v>0.8801</v>
      </c>
      <c r="D5" s="7" t="n">
        <f aca="false">C5-B5</f>
        <v>0.00839999999999996</v>
      </c>
      <c r="E5" s="9" t="n">
        <v>0.9495</v>
      </c>
      <c r="F5" s="9" t="n">
        <v>0.9506</v>
      </c>
      <c r="G5" s="7" t="n">
        <f aca="false">F5-E5</f>
        <v>0.00109999999999999</v>
      </c>
      <c r="H5" s="8" t="n">
        <v>0.8395</v>
      </c>
      <c r="I5" s="8" t="n">
        <v>0.858</v>
      </c>
      <c r="J5" s="6" t="n">
        <f aca="false">I5-H5</f>
        <v>0.0185</v>
      </c>
      <c r="K5" s="10" t="str">
        <f aca="false">IF(ABS(D5)&lt;=0.02,"Yes","No")</f>
        <v>Yes</v>
      </c>
    </row>
    <row r="6" customFormat="false" ht="15" hidden="false" customHeight="false" outlineLevel="0" collapsed="false">
      <c r="A6" s="4" t="s">
        <v>23</v>
      </c>
      <c r="B6" s="9" t="n">
        <v>0.7832</v>
      </c>
      <c r="C6" s="9" t="n">
        <v>0.8825</v>
      </c>
      <c r="D6" s="7" t="n">
        <f aca="false">C6-B6</f>
        <v>0.0992999999999999</v>
      </c>
      <c r="E6" s="9" t="n">
        <v>0.9084</v>
      </c>
      <c r="F6" s="9" t="n">
        <v>0.9606</v>
      </c>
      <c r="G6" s="7" t="n">
        <f aca="false">F6-E6</f>
        <v>0.0522</v>
      </c>
      <c r="H6" s="8" t="n">
        <v>0.784</v>
      </c>
      <c r="I6" s="8" t="n">
        <v>0.8387</v>
      </c>
      <c r="J6" s="6" t="n">
        <f aca="false">I6-H6</f>
        <v>0.0547</v>
      </c>
      <c r="K6" s="10" t="str">
        <f aca="false">IF(ABS(D6)&lt;=0.02,"Yes","No")</f>
        <v>No</v>
      </c>
    </row>
    <row r="7" customFormat="false" ht="15" hidden="false" customHeight="false" outlineLevel="0" collapsed="false">
      <c r="A7" s="4" t="s">
        <v>24</v>
      </c>
      <c r="B7" s="9" t="n">
        <v>0.537</v>
      </c>
      <c r="C7" s="9" t="n">
        <v>0.0704</v>
      </c>
      <c r="D7" s="7" t="n">
        <f aca="false">C7-B7</f>
        <v>-0.4666</v>
      </c>
      <c r="E7" s="9" t="n">
        <v>0.7293</v>
      </c>
      <c r="F7" s="9" t="n">
        <v>0.6248</v>
      </c>
      <c r="G7" s="7" t="n">
        <f aca="false">F7-E7</f>
        <v>-0.1045</v>
      </c>
      <c r="H7" s="8" t="n">
        <v>0.3827</v>
      </c>
      <c r="I7" s="8" t="n">
        <v>0.9861</v>
      </c>
      <c r="J7" s="6" t="n">
        <f aca="false">I7-H7</f>
        <v>0.6034</v>
      </c>
      <c r="K7" s="10" t="str">
        <f aca="false">IF(ABS(D7)&lt;=0.02,"Yes","No")</f>
        <v>No</v>
      </c>
    </row>
    <row r="8" customFormat="false" ht="15" hidden="false" customHeight="false" outlineLevel="0" collapsed="false">
      <c r="A8" s="4" t="s">
        <v>25</v>
      </c>
      <c r="B8" s="9" t="n">
        <v>0.4377</v>
      </c>
      <c r="C8" s="9" t="n">
        <v>-0.0318</v>
      </c>
      <c r="D8" s="7" t="n">
        <f aca="false">C8-B8</f>
        <v>-0.4695</v>
      </c>
      <c r="E8" s="9" t="n">
        <v>0.7577</v>
      </c>
      <c r="F8" s="9" t="n">
        <v>0.6013</v>
      </c>
      <c r="G8" s="7" t="n">
        <f aca="false">F8-E8</f>
        <v>-0.1564</v>
      </c>
      <c r="H8" s="8" t="n">
        <v>0.2716</v>
      </c>
      <c r="I8" s="8" t="n">
        <v>0.9938</v>
      </c>
      <c r="J8" s="6" t="n">
        <f aca="false">I8-H8</f>
        <v>0.7222</v>
      </c>
      <c r="K8" s="10" t="str">
        <f aca="false">IF(ABS(D8)&lt;=0.02,"Yes","No")</f>
        <v>No</v>
      </c>
    </row>
    <row r="9" customFormat="false" ht="15" hidden="false" customHeight="false" outlineLevel="0" collapsed="false">
      <c r="A9" s="4" t="s">
        <v>26</v>
      </c>
      <c r="B9" s="9" t="n">
        <v>0.198</v>
      </c>
      <c r="C9" s="9" t="n">
        <v>0.0226</v>
      </c>
      <c r="D9" s="7" t="n">
        <f aca="false">C9-B9</f>
        <v>-0.1754</v>
      </c>
      <c r="E9" s="9" t="n">
        <v>0.5589</v>
      </c>
      <c r="F9" s="9" t="n">
        <v>0.4956</v>
      </c>
      <c r="G9" s="7" t="n">
        <f aca="false">F9-E9</f>
        <v>-0.0633</v>
      </c>
      <c r="H9" s="8" t="n">
        <v>0.0784</v>
      </c>
      <c r="I9" s="8" t="n">
        <v>0.9633</v>
      </c>
      <c r="J9" s="6" t="n">
        <f aca="false">I9-H9</f>
        <v>0.8849</v>
      </c>
      <c r="K9" s="10" t="str">
        <f aca="false">IF(ABS(D9)&lt;=0.02,"Yes","No")</f>
        <v>No</v>
      </c>
    </row>
    <row r="11" customFormat="false" ht="15" hidden="false" customHeight="false" outlineLevel="0" collapsed="false">
      <c r="A11" s="11" t="s">
        <v>52</v>
      </c>
      <c r="D11" s="11" t="str">
        <f aca="false">COUNTIF(K5:K9,"Yes")&amp;" of "&amp;COUNTA(A5:A9)</f>
        <v>1 of 5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4" min="4" style="0" width="42"/>
    <col collapsed="false" customWidth="true" hidden="false" outlineLevel="0" max="5" min="5" style="0" width="48"/>
  </cols>
  <sheetData>
    <row r="1" customFormat="false" ht="16.15" hidden="false" customHeight="false" outlineLevel="0" collapsed="false">
      <c r="A1" s="1" t="s">
        <v>53</v>
      </c>
    </row>
    <row r="3" customFormat="false" ht="42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</row>
    <row r="4" customFormat="false" ht="91.5" hidden="false" customHeight="true" outlineLevel="0" collapsed="false">
      <c r="A4" s="14" t="n">
        <v>1</v>
      </c>
      <c r="B4" s="14" t="s">
        <v>59</v>
      </c>
      <c r="C4" s="14" t="s">
        <v>60</v>
      </c>
      <c r="D4" s="14" t="s">
        <v>61</v>
      </c>
      <c r="E4" s="14" t="s">
        <v>62</v>
      </c>
    </row>
    <row r="5" customFormat="false" ht="91.5" hidden="false" customHeight="true" outlineLevel="0" collapsed="false">
      <c r="A5" s="14" t="n">
        <v>2</v>
      </c>
      <c r="B5" s="14" t="s">
        <v>63</v>
      </c>
      <c r="C5" s="14" t="s">
        <v>64</v>
      </c>
      <c r="D5" s="14" t="s">
        <v>65</v>
      </c>
      <c r="E5" s="14" t="s">
        <v>66</v>
      </c>
    </row>
    <row r="6" customFormat="false" ht="91.5" hidden="false" customHeight="true" outlineLevel="0" collapsed="false">
      <c r="A6" s="14" t="n">
        <v>3</v>
      </c>
      <c r="B6" s="14" t="s">
        <v>67</v>
      </c>
      <c r="C6" s="14" t="s">
        <v>68</v>
      </c>
      <c r="D6" s="14" t="s">
        <v>69</v>
      </c>
      <c r="E6" s="14" t="s">
        <v>70</v>
      </c>
    </row>
    <row r="7" customFormat="false" ht="91.5" hidden="false" customHeight="true" outlineLevel="0" collapsed="false">
      <c r="A7" s="14" t="n">
        <v>4</v>
      </c>
      <c r="B7" s="14" t="s">
        <v>71</v>
      </c>
      <c r="C7" s="14" t="s">
        <v>72</v>
      </c>
      <c r="D7" s="14" t="s">
        <v>73</v>
      </c>
      <c r="E7" s="14" t="s">
        <v>74</v>
      </c>
    </row>
    <row r="8" customFormat="false" ht="91.5" hidden="false" customHeight="true" outlineLevel="0" collapsed="false">
      <c r="A8" s="14" t="n">
        <v>5</v>
      </c>
      <c r="B8" s="14" t="s">
        <v>75</v>
      </c>
      <c r="C8" s="14" t="s">
        <v>76</v>
      </c>
      <c r="D8" s="14" t="s">
        <v>77</v>
      </c>
      <c r="E8" s="14" t="s">
        <v>78</v>
      </c>
    </row>
    <row r="9" customFormat="false" ht="91.5" hidden="false" customHeight="true" outlineLevel="0" collapsed="false">
      <c r="A9" s="14" t="n">
        <v>6</v>
      </c>
      <c r="B9" s="14" t="s">
        <v>79</v>
      </c>
      <c r="C9" s="14" t="s">
        <v>80</v>
      </c>
      <c r="D9" s="14" t="s">
        <v>81</v>
      </c>
      <c r="E9" s="1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2026-10-28T05:12:30Z</dcterms:created>
  <dc:creator>openpyxl</dc:creator>
  <dc:description/>
  <dc:language>en-US</dc:language>
  <cp:lastModifiedBy/>
  <dcterms:modified xsi:type="dcterms:W3CDTF">2026-10-28T05:12:30Z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